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8827ef9e2854e3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OC" sheetId="1" r:id="R2470ffe9785643b1"/>
    <x:sheet xmlns:r="http://schemas.openxmlformats.org/officeDocument/2006/relationships" name="Halstead" sheetId="2" r:id="Ref1aad0619084483"/>
    <x:sheet xmlns:r="http://schemas.openxmlformats.org/officeDocument/2006/relationships" name="CC" sheetId="3" r:id="Ra210efab8cf04c97"/>
    <x:sheet xmlns:r="http://schemas.openxmlformats.org/officeDocument/2006/relationships" name="QuickSort" sheetId="4" r:id="R0efe830529654dd3"/>
    <x:sheet xmlns:r="http://schemas.openxmlformats.org/officeDocument/2006/relationships" name="Albrecht" sheetId="5" r:id="R4240ae11dba243fe"/>
    <x:sheet xmlns:r="http://schemas.openxmlformats.org/officeDocument/2006/relationships" name="MI" sheetId="6" r:id="R298575347f1442f6"/>
    <x:sheet xmlns:r="http://schemas.openxmlformats.org/officeDocument/2006/relationships" name="TFC" sheetId="7" r:id="Rc78025c3674c481b"/>
    <x:sheet xmlns:r="http://schemas.openxmlformats.org/officeDocument/2006/relationships" name="Projet" sheetId="8" r:id="R82ac3305fd68419f"/>
    <x:sheet xmlns:r="http://schemas.openxmlformats.org/officeDocument/2006/relationships" name="Couplage" sheetId="9" r:id="Ra67e6fad84b04f1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"/>
  </x:numFmts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db54cf6c9034dd0" /><Relationship Type="http://schemas.openxmlformats.org/officeDocument/2006/relationships/theme" Target="/xl/theme/theme1.xml" Id="Rc8d4282b5e5044e3" /><Relationship Type="http://schemas.openxmlformats.org/officeDocument/2006/relationships/sharedStrings" Target="/xl/sharedStrings.xml" Id="R1f2fa720067c4a99" /><Relationship Type="http://schemas.openxmlformats.org/officeDocument/2006/relationships/worksheet" Target="/xl/worksheets/sheet1.xml" Id="R2470ffe9785643b1" /><Relationship Type="http://schemas.openxmlformats.org/officeDocument/2006/relationships/worksheet" Target="/xl/worksheets/sheet2.xml" Id="Ref1aad0619084483" /><Relationship Type="http://schemas.openxmlformats.org/officeDocument/2006/relationships/worksheet" Target="/xl/worksheets/sheet3.xml" Id="Ra210efab8cf04c97" /><Relationship Type="http://schemas.openxmlformats.org/officeDocument/2006/relationships/worksheet" Target="/xl/worksheets/sheet4.xml" Id="R0efe830529654dd3" /><Relationship Type="http://schemas.openxmlformats.org/officeDocument/2006/relationships/worksheet" Target="/xl/worksheets/sheet5.xml" Id="R4240ae11dba243fe" /><Relationship Type="http://schemas.openxmlformats.org/officeDocument/2006/relationships/worksheet" Target="/xl/worksheets/sheet6.xml" Id="R298575347f1442f6" /><Relationship Type="http://schemas.openxmlformats.org/officeDocument/2006/relationships/worksheet" Target="/xl/worksheets/sheet7.xml" Id="Rc78025c3674c481b" /><Relationship Type="http://schemas.openxmlformats.org/officeDocument/2006/relationships/worksheet" Target="/xl/worksheets/sheet8.xml" Id="R82ac3305fd68419f" /><Relationship Type="http://schemas.openxmlformats.org/officeDocument/2006/relationships/worksheet" Target="/xl/worksheets/sheet9.xml" Id="Ra67e6fad84b04f1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44" hidden="0" customWidth="1"/>
    <x:col min="2" max="2" width="25" hidden="0" customWidth="1"/>
  </x:cols>
  <x:sheetData>
    <x:row r="1">
      <x:c r="A1" t="str">
        <x:v>Mesure</x:v>
      </x:c>
      <x:c r="B1" t="str">
        <x:v>devWeb-main</x:v>
      </x:c>
    </x:row>
    <x:row r="2">
      <x:c r="A2" t="str">
        <x:v>LOC (lignes physiques PHP et CSS)</x:v>
      </x:c>
      <x:c r="B2" t="n">
        <x:v>2140</x:v>
      </x:c>
    </x:row>
    <x:row r="3">
      <x:c r="A3" t="str">
        <x:v>PHP</x:v>
      </x:c>
      <x:c r="B3" t="n">
        <x:v>2134</x:v>
      </x:c>
    </x:row>
    <x:row r="4">
      <x:c r="A4" t="str">
        <x:v>CSS</x:v>
      </x:c>
      <x:c r="B4" t="n">
        <x:v>6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36" hidden="0" customWidth="1"/>
    <x:col min="2" max="2" width="12" hidden="0" customWidth="1"/>
    <x:col min="3" max="3" width="30" hidden="0" customWidth="1"/>
    <x:col min="4" max="4" width="18" hidden="0" customWidth="1"/>
  </x:cols>
  <x:sheetData>
    <x:row r="1">
      <x:c r="A1" t="str">
        <x:v>Opérateurs distincts</x:v>
      </x:c>
      <x:c r="B1" t="str">
        <x:v>n₁</x:v>
      </x:c>
      <x:c r="C1" t="str"/>
      <x:c r="D1" t="n">
        <x:v>14</x:v>
      </x:c>
    </x:row>
    <x:row r="2">
      <x:c r="A2" t="str">
        <x:v>Occurrences opérateurs</x:v>
      </x:c>
      <x:c r="B2" t="str">
        <x:v>N₁</x:v>
      </x:c>
      <x:c r="C2" t="str"/>
      <x:c r="D2" t="n">
        <x:v>24</x:v>
      </x:c>
    </x:row>
    <x:row r="3">
      <x:c r="A3" t="str">
        <x:v>Opérandes distincts</x:v>
      </x:c>
      <x:c r="B3" t="str">
        <x:v>n₂</x:v>
      </x:c>
      <x:c r="C3" t="str"/>
      <x:c r="D3" t="n">
        <x:v>8</x:v>
      </x:c>
    </x:row>
    <x:row r="4">
      <x:c r="A4" t="str">
        <x:v>Occurrences opérandes</x:v>
      </x:c>
      <x:c r="B4" t="str">
        <x:v>N₂</x:v>
      </x:c>
      <x:c r="C4" t="str"/>
      <x:c r="D4" t="n">
        <x:v>36</x:v>
      </x:c>
    </x:row>
    <x:row r="5">
      <x:c r="A5" t="str">
        <x:v>Vocabulaire du programme</x:v>
      </x:c>
      <x:c r="B5" t="str">
        <x:v>n</x:v>
      </x:c>
      <x:c r="C5" t="str">
        <x:v>n = n₁ + n₂</x:v>
      </x:c>
      <x:c r="D5" t="n">
        <x:f>D1+D3</x:f>
        <x:v>22</x:v>
      </x:c>
    </x:row>
    <x:row r="6">
      <x:c r="A6" t="str">
        <x:v>Longueur du programme</x:v>
      </x:c>
      <x:c r="B6" t="str">
        <x:v>N</x:v>
      </x:c>
      <x:c r="C6" t="str">
        <x:v>N = N₁ + N₂</x:v>
      </x:c>
      <x:c r="D6" t="n">
        <x:f>D2+D4</x:f>
        <x:v>60</x:v>
      </x:c>
    </x:row>
    <x:row r="7">
      <x:c r="A7" t="str">
        <x:v>Volume</x:v>
      </x:c>
      <x:c r="B7" t="str">
        <x:v>V</x:v>
      </x:c>
      <x:c r="C7" t="str">
        <x:v>V = N × log₂(n)</x:v>
      </x:c>
      <x:c r="D7" s="1" t="n">
        <x:f>D6*LOG(D5,2)</x:f>
        <x:v>267.56589711823784</x:v>
      </x:c>
    </x:row>
    <x:row r="8">
      <x:c r="A8" t="str">
        <x:v>Difficulté</x:v>
      </x:c>
      <x:c r="B8" t="str">
        <x:v>D</x:v>
      </x:c>
      <x:c r="C8" t="str">
        <x:v>D = (n₁/2) × (N₂/n₂)</x:v>
      </x:c>
      <x:c r="D8" s="1" t="n">
        <x:f>D1/2*D4/D3</x:f>
        <x:v>31.5</x:v>
      </x:c>
    </x:row>
    <x:row r="9">
      <x:c r="A9" t="str">
        <x:v>Effort</x:v>
      </x:c>
      <x:c r="B9" t="str">
        <x:v>E</x:v>
      </x:c>
      <x:c r="C9" t="str">
        <x:v>E = D × V</x:v>
      </x:c>
      <x:c r="D9" s="1" t="n">
        <x:f>D8*D7</x:f>
        <x:v>8428.325759224492</x:v>
      </x:c>
    </x:row>
    <x:row r="11">
      <x:c r="A11" t="str">
        <x:v>Question 2.7</x:v>
      </x:c>
    </x:row>
    <x:row r="12">
      <x:c r="A12" t="str">
        <x:v>Les comptages dépendent de la tokenisation ; effort et difficulté demandent une validation empirique.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43" hidden="0" customWidth="1"/>
    <x:col min="2" max="2" width="34" hidden="0" customWidth="1"/>
  </x:cols>
  <x:sheetData>
    <x:row r="1">
      <x:c r="A1" t="str">
        <x:v>Question 2.5</x:v>
      </x:c>
      <x:c r="B1" t="str"/>
    </x:row>
    <x:row r="2">
      <x:c r="A2" t="str">
        <x:v>Formule</x:v>
      </x:c>
      <x:c r="B2" t="str">
        <x:v>CC = E − N + 2P</x:v>
      </x:c>
    </x:row>
    <x:row r="4">
      <x:c r="A4" t="str">
        <x:v>Arcs E</x:v>
      </x:c>
      <x:c r="B4" t="n">
        <x:v>11</x:v>
      </x:c>
    </x:row>
    <x:row r="5">
      <x:c r="A5" t="str">
        <x:v>Nœuds N</x:v>
      </x:c>
      <x:c r="B5" t="n">
        <x:v>9</x:v>
      </x:c>
    </x:row>
    <x:row r="6">
      <x:c r="A6" t="str">
        <x:v>Composantes P</x:v>
      </x:c>
      <x:c r="B6" t="n">
        <x:v>1</x:v>
      </x:c>
    </x:row>
    <x:row r="8">
      <x:c r="A8" t="str">
        <x:v>Réponse</x:v>
      </x:c>
      <x:c r="B8" t="n">
        <x:f>B4-B5+2*B6</x:f>
        <x:v>4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30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</x:cols>
  <x:sheetData>
    <x:row r="1">
      <x:c r="A1" t="str"/>
      <x:c r="B1" t="str"/>
      <x:c r="C1" t="str">
        <x:v>Poids</x:v>
      </x:c>
      <x:c r="D1" t="str"/>
      <x:c r="E1" t="str"/>
      <x:c r="F1" t="str">
        <x:v>Scores</x:v>
      </x:c>
    </x:row>
    <x:row r="2">
      <x:c r="A2" t="str">
        <x:v>Catégorie</x:v>
      </x:c>
      <x:c r="B2" t="str">
        <x:v>simple</x:v>
      </x:c>
      <x:c r="C2" t="str">
        <x:v>moyen</x:v>
      </x:c>
      <x:c r="D2" t="str">
        <x:v>difficile</x:v>
      </x:c>
      <x:c r="E2" t="str">
        <x:v>simple</x:v>
      </x:c>
      <x:c r="F2" t="str">
        <x:v>moyen</x:v>
      </x:c>
      <x:c r="G2" t="str">
        <x:v>difficile</x:v>
      </x:c>
    </x:row>
    <x:row r="3">
      <x:c r="A3" t="str">
        <x:v>Entrées externes</x:v>
      </x:c>
      <x:c r="B3" t="n">
        <x:v>3</x:v>
      </x:c>
      <x:c r="C3" t="n">
        <x:v>4</x:v>
      </x:c>
      <x:c r="D3" t="n">
        <x:v>6</x:v>
      </x:c>
      <x:c r="E3" t="n">
        <x:v>2</x:v>
      </x:c>
      <x:c r="F3" t="n">
        <x:v>0</x:v>
      </x:c>
      <x:c r="G3" t="n">
        <x:v>0</x:v>
      </x:c>
    </x:row>
    <x:row r="4">
      <x:c r="A4" t="str">
        <x:v>Sorties externes</x:v>
      </x:c>
      <x:c r="B4" t="n">
        <x:v>4</x:v>
      </x:c>
      <x:c r="C4" t="n">
        <x:v>5</x:v>
      </x:c>
      <x:c r="D4" t="n">
        <x:v>7</x:v>
      </x:c>
      <x:c r="E4" t="n">
        <x:v>0</x:v>
      </x:c>
      <x:c r="F4" t="n">
        <x:v>0</x:v>
      </x:c>
      <x:c r="G4" t="n">
        <x:v>0</x:v>
      </x:c>
    </x:row>
    <x:row r="5">
      <x:c r="A5" t="str">
        <x:v>Requêtes externes</x:v>
      </x:c>
      <x:c r="B5" t="n">
        <x:v>3</x:v>
      </x:c>
      <x:c r="C5" t="n">
        <x:v>4</x:v>
      </x:c>
      <x:c r="D5" t="n">
        <x:v>6</x:v>
      </x:c>
      <x:c r="E5" t="n">
        <x:v>0</x:v>
      </x:c>
      <x:c r="F5" t="n">
        <x:v>0</x:v>
      </x:c>
      <x:c r="G5" t="n">
        <x:v>0</x:v>
      </x:c>
    </x:row>
    <x:row r="6">
      <x:c r="A6" t="str">
        <x:v>Fichiers internes</x:v>
      </x:c>
      <x:c r="B6" t="n">
        <x:v>7</x:v>
      </x:c>
      <x:c r="C6" t="n">
        <x:v>10</x:v>
      </x:c>
      <x:c r="D6" t="n">
        <x:v>15</x:v>
      </x:c>
      <x:c r="E6" t="n">
        <x:v>1</x:v>
      </x:c>
      <x:c r="F6" t="n">
        <x:v>0</x:v>
      </x:c>
      <x:c r="G6" t="n">
        <x:v>0</x:v>
      </x:c>
    </x:row>
    <x:row r="7">
      <x:c r="A7" t="str">
        <x:v>Fichiers externes</x:v>
      </x:c>
      <x:c r="B7" t="n">
        <x:v>5</x:v>
      </x:c>
      <x:c r="C7" t="n">
        <x:v>7</x:v>
      </x:c>
      <x:c r="D7" t="n">
        <x:v>10</x:v>
      </x:c>
      <x:c r="E7" t="n">
        <x:v>0</x:v>
      </x:c>
      <x:c r="F7" t="n">
        <x:v>0</x:v>
      </x:c>
      <x:c r="G7" t="n">
        <x:v>0</x:v>
      </x:c>
    </x:row>
    <x:row r="9">
      <x:c r="A9" t="str">
        <x:v>UFC QuickSort (illustration)</x:v>
      </x:c>
      <x:c r="B9" t="n">
        <x:f>SUMPRODUCT(B3:B7,E3:E7)+SUMPRODUCT(C3:C7,F3:F7)+SUMPRODUCT(D3:D7,G3:G7)</x:f>
        <x:v>13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30" hidden="0" customWidth="1"/>
    <x:col min="2" max="2" width="30" hidden="0" customWidth="1"/>
    <x:col min="3" max="3" width="17" hidden="0" customWidth="1"/>
  </x:cols>
  <x:sheetData>
    <x:row r="1">
      <x:c r="A1" t="str">
        <x:v>Question 2.8</x:v>
      </x:c>
    </x:row>
    <x:row r="2">
      <x:c r="A2" t="str">
        <x:v>Catégorie</x:v>
      </x:c>
      <x:c r="B2" t="str">
        <x:v>Calcul</x:v>
      </x:c>
      <x:c r="C2" t="str">
        <x:v>Résultat</x:v>
      </x:c>
    </x:row>
    <x:row r="3">
      <x:c r="A3" t="str">
        <x:v>Entrées externes</x:v>
      </x:c>
      <x:c r="B3" t="str">
        <x:v>3×4 + 4×3 + 6×1</x:v>
      </x:c>
      <x:c r="C3" t="n">
        <x:f>3*4+4*3+6*1</x:f>
        <x:v>30</x:v>
      </x:c>
    </x:row>
    <x:row r="4">
      <x:c r="A4" t="str">
        <x:v>Sorties externes</x:v>
      </x:c>
      <x:c r="B4" t="str">
        <x:v>4×0 + 5×2 + 7×1</x:v>
      </x:c>
      <x:c r="C4" t="n">
        <x:f>4*0+5*2+7*1</x:f>
        <x:v>17</x:v>
      </x:c>
    </x:row>
    <x:row r="5">
      <x:c r="A5" t="str">
        <x:v>Requêtes externes</x:v>
      </x:c>
      <x:c r="B5" t="str">
        <x:v>3×7 + 4×0 + 6×0</x:v>
      </x:c>
      <x:c r="C5" t="n">
        <x:f>3*7+4*0+6*0</x:f>
        <x:v>21</x:v>
      </x:c>
    </x:row>
    <x:row r="6">
      <x:c r="A6" t="str">
        <x:v>Fichiers internes</x:v>
      </x:c>
      <x:c r="B6" t="str">
        <x:v>7×3 + 10×0 + 15×0</x:v>
      </x:c>
      <x:c r="C6" t="n">
        <x:f>7*3+10*0+15*0</x:f>
        <x:v>21</x:v>
      </x:c>
    </x:row>
    <x:row r="7">
      <x:c r="A7" t="str">
        <x:v>Fichiers externes</x:v>
      </x:c>
      <x:c r="B7" t="str">
        <x:v>5×0 + 7×5 + 10×2</x:v>
      </x:c>
      <x:c r="C7" t="n">
        <x:f>5*0+7*5+10*2</x:f>
        <x:v>55</x:v>
      </x:c>
    </x:row>
    <x:row r="8">
      <x:c r="A8" t="str">
        <x:v>Total</x:v>
      </x:c>
      <x:c r="C8" t="n">
        <x:f>SUM(C3:C7)</x:f>
        <x:v>144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70" hidden="0" customWidth="1"/>
    <x:col min="2" max="2" width="22" hidden="0" customWidth="1"/>
  </x:cols>
  <x:sheetData>
    <x:row r="1">
      <x:c r="A1" t="str">
        <x:v>Mesure</x:v>
      </x:c>
      <x:c r="B1" t="str">
        <x:v>Valeur</x:v>
      </x:c>
    </x:row>
    <x:row r="2">
      <x:c r="A2" t="str">
        <x:v>Volume (V)</x:v>
      </x:c>
      <x:c r="B2" t="n">
        <x:f>Halstead!D7</x:f>
        <x:v>267.56589711823784</x:v>
      </x:c>
    </x:row>
    <x:row r="3">
      <x:c r="A3" t="str">
        <x:v>Complexité cyclomatique (CC)</x:v>
      </x:c>
      <x:c r="B3" t="n">
        <x:f>CC!B8</x:f>
        <x:v>4</x:v>
      </x:c>
    </x:row>
    <x:row r="4">
      <x:c r="A4" t="str">
        <x:v>Lignes de code (LOC)</x:v>
      </x:c>
      <x:c r="B4" t="n">
        <x:v>12</x:v>
      </x:c>
    </x:row>
    <x:row r="5">
      <x:c r="A5" t="str">
        <x:v>MI = 171 − 5,2 ln(V) − 0,23 CC − 16,2 ln(LOC)</x:v>
      </x:c>
      <x:c r="B5" s="1" t="n">
        <x:f>171-5.2*LN(B2)-0.23*B3-16.2*LN(B4)</x:f>
        <x:v>100.75980969553373</x:v>
      </x:c>
    </x:row>
    <x:row r="7">
      <x:c r="A7" t="str">
        <x:v>Question 2.11</x:v>
      </x:c>
    </x:row>
    <x:row r="10">
      <x:c r="A10" t="str">
        <x:v>Volume (V)</x:v>
      </x:c>
      <x:c r="B10" t="n">
        <x:f>B2</x:f>
        <x:v>267.56589711823784</x:v>
      </x:c>
    </x:row>
    <x:row r="11">
      <x:c r="A11" t="str">
        <x:v>CC</x:v>
      </x:c>
      <x:c r="B11" t="n">
        <x:f>B3</x:f>
        <x:v>4</x:v>
      </x:c>
    </x:row>
    <x:row r="12">
      <x:c r="A12" t="str">
        <x:v>LOC avec commentaires</x:v>
      </x:c>
      <x:c r="B12" t="n">
        <x:v>18</x:v>
      </x:c>
    </x:row>
    <x:row r="13">
      <x:c r="A13" t="str">
        <x:v>COM (%)</x:v>
      </x:c>
      <x:c r="B13" s="1" t="n">
        <x:f>6/B12*100</x:f>
        <x:v>33.33333333333333</x:v>
      </x:c>
    </x:row>
    <x:row r="14">
      <x:c r="A14" t="str">
        <x:v>MI avec commentaires</x:v>
      </x:c>
      <x:c r="B14" s="1" t="n">
        <x:f>171-5.2*LN(B10)-0.23*B11-16.2*LN(B12)+50*SIN(SQRT(2.46*B13))</x:f>
        <x:v>112.24373880810816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40" hidden="0" customWidth="1"/>
    <x:col min="2" max="2" width="20" hidden="0" customWidth="1"/>
  </x:cols>
  <x:sheetData>
    <x:row r="1">
      <x:c r="A1" t="str">
        <x:v>Facteur technique</x:v>
      </x:c>
      <x:c r="B1" t="str">
        <x:v>Note (0–5)</x:v>
      </x:c>
    </x:row>
    <x:row r="2">
      <x:c r="A2" t="str">
        <x:v>Communications de données</x:v>
      </x:c>
      <x:c r="B2" t="n">
        <x:v>2</x:v>
      </x:c>
    </x:row>
    <x:row r="3">
      <x:c r="A3" t="str">
        <x:v>Traitement distribué</x:v>
      </x:c>
      <x:c r="B3" t="n">
        <x:v>0</x:v>
      </x:c>
    </x:row>
    <x:row r="4">
      <x:c r="A4" t="str">
        <x:v>Performance</x:v>
      </x:c>
      <x:c r="B4" t="n">
        <x:v>1</x:v>
      </x:c>
    </x:row>
    <x:row r="5">
      <x:c r="A5" t="str">
        <x:v>Configuration très utilisée</x:v>
      </x:c>
      <x:c r="B5" t="n">
        <x:v>0</x:v>
      </x:c>
    </x:row>
    <x:row r="6">
      <x:c r="A6" t="str">
        <x:v>Taux de transactions</x:v>
      </x:c>
      <x:c r="B6" t="n">
        <x:v>1</x:v>
      </x:c>
    </x:row>
    <x:row r="7">
      <x:c r="A7" t="str">
        <x:v>Saisie en ligne</x:v>
      </x:c>
      <x:c r="B7" t="n">
        <x:v>3</x:v>
      </x:c>
    </x:row>
    <x:row r="8">
      <x:c r="A8" t="str">
        <x:v>Efficacité utilisateur</x:v>
      </x:c>
      <x:c r="B8" t="n">
        <x:v>2</x:v>
      </x:c>
    </x:row>
    <x:row r="9">
      <x:c r="A9" t="str">
        <x:v>Mise à jour en ligne</x:v>
      </x:c>
      <x:c r="B9" t="n">
        <x:v>2</x:v>
      </x:c>
    </x:row>
    <x:row r="10">
      <x:c r="A10" t="str">
        <x:v>Traitements complexes</x:v>
      </x:c>
      <x:c r="B10" t="n">
        <x:v>1</x:v>
      </x:c>
    </x:row>
    <x:row r="11">
      <x:c r="A11" t="str">
        <x:v>Réutilisabilité</x:v>
      </x:c>
      <x:c r="B11" t="n">
        <x:v>1</x:v>
      </x:c>
    </x:row>
    <x:row r="12">
      <x:c r="A12" t="str">
        <x:v>Facilité d’installation</x:v>
      </x:c>
      <x:c r="B12" t="n">
        <x:v>1</x:v>
      </x:c>
    </x:row>
    <x:row r="13">
      <x:c r="A13" t="str">
        <x:v>Facilité d’exploitation</x:v>
      </x:c>
      <x:c r="B13" t="n">
        <x:v>1</x:v>
      </x:c>
    </x:row>
    <x:row r="14">
      <x:c r="A14" t="str">
        <x:v>Sites multiples</x:v>
      </x:c>
      <x:c r="B14" t="n">
        <x:v>1</x:v>
      </x:c>
    </x:row>
    <x:row r="15">
      <x:c r="A15" t="str">
        <x:v>Facilité de changement</x:v>
      </x:c>
      <x:c r="B15" t="n">
        <x:v>2</x:v>
      </x:c>
    </x:row>
    <x:row r="16">
      <x:c r="A16" t="str">
        <x:v>Total des facteurs</x:v>
      </x:c>
      <x:c r="B16" t="n">
        <x:f>SUM(B2:B15)</x:f>
        <x:v>18</x:v>
      </x:c>
    </x:row>
    <x:row r="17">
      <x:c r="A17" t="str">
        <x:v>TFC = 0,65 + 0,01 × total</x:v>
      </x:c>
      <x:c r="B17" s="1" t="n">
        <x:f>0.65+0.01*B16</x:f>
        <x:v>0.8300000000000001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35" hidden="0" customWidth="1"/>
    <x:col min="2" max="2" width="18" hidden="0" customWidth="1"/>
  </x:cols>
  <x:sheetData>
    <x:row r="1">
      <x:c r="A1" t="str">
        <x:v>Mesure</x:v>
      </x:c>
      <x:c r="B1" t="str">
        <x:v>devWeb-main</x:v>
      </x:c>
    </x:row>
    <x:row r="2">
      <x:c r="A2" t="str">
        <x:v>Fichiers PHP et CSS</x:v>
      </x:c>
      <x:c r="B2" t="n">
        <x:v>40</x:v>
      </x:c>
    </x:row>
    <x:row r="3">
      <x:c r="A3" t="str">
        <x:v>LOC physiques</x:v>
      </x:c>
      <x:c r="B3" t="n">
        <x:v>2140</x:v>
      </x:c>
    </x:row>
    <x:row r="4">
      <x:c r="A4" t="str">
        <x:v>Fichiers PHP</x:v>
      </x:c>
      <x:c r="B4" t="n">
        <x:v>34</x:v>
      </x:c>
    </x:row>
    <x:row r="5">
      <x:c r="A5" t="str">
        <x:v>Fichiers CSS</x:v>
      </x:c>
      <x:c r="B5" t="n">
        <x:v>6</x:v>
      </x:c>
    </x:row>
    <x:row r="6">
      <x:c r="A6" t="str">
        <x:v>CC (proxy statique)</x:v>
      </x:c>
      <x:c r="B6" t="n">
        <x:v>210</x:v>
      </x:c>
    </x:row>
    <x:row r="7">
      <x:c r="A7" t="str">
        <x:v>Classes</x:v>
      </x:c>
      <x:c r="B7" t="n">
        <x:v>19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42" hidden="0" customWidth="1"/>
    <x:col min="2" max="2" width="15" hidden="0" customWidth="1"/>
    <x:col min="3" max="3" width="18" hidden="0" customWidth="1"/>
  </x:cols>
  <x:sheetData>
    <x:row r="1">
      <x:c r="A1" t="str">
        <x:v>Classe</x:v>
      </x:c>
      <x:c r="B1" t="str">
        <x:v>CBO</x:v>
      </x:c>
      <x:c r="C1" t="str">
        <x:v>LCOM1</x:v>
      </x:c>
    </x:row>
    <x:row r="2">
      <x:c r="A2" t="str">
        <x:v>AccueilController</x:v>
      </x:c>
      <x:c r="B2" t="n">
        <x:v>7</x:v>
      </x:c>
      <x:c r="C2" t="n">
        <x:v>1</x:v>
      </x:c>
    </x:row>
    <x:row r="3">
      <x:c r="A3" t="str">
        <x:v>AlbumModel</x:v>
      </x:c>
      <x:c r="B3" t="n">
        <x:v>0</x:v>
      </x:c>
      <x:c r="C3" t="n">
        <x:v>1</x:v>
      </x:c>
    </x:row>
    <x:row r="4">
      <x:c r="A4" t="str">
        <x:v>Autoloader</x:v>
      </x:c>
      <x:c r="B4" t="n">
        <x:v>0</x:v>
      </x:c>
      <x:c r="C4" t="n">
        <x:v>0</x:v>
      </x:c>
    </x:row>
    <x:row r="5">
      <x:c r="A5" t="str">
        <x:v>BienvenueController</x:v>
      </x:c>
      <x:c r="B5" t="n">
        <x:v>2</x:v>
      </x:c>
      <x:c r="C5" t="n">
        <x:v>4</x:v>
      </x:c>
    </x:row>
    <x:row r="6">
      <x:c r="A6" t="str">
        <x:v>Builder</x:v>
      </x:c>
      <x:c r="B6" t="n">
        <x:v>0</x:v>
      </x:c>
      <x:c r="C6" t="n">
        <x:v>0</x:v>
      </x:c>
    </x:row>
    <x:row r="7">
      <x:c r="A7" t="str">
        <x:v>DoubleAuthentificationController</x:v>
      </x:c>
      <x:c r="B7" t="n">
        <x:v>3</x:v>
      </x:c>
      <x:c r="C7" t="n">
        <x:v>6</x:v>
      </x:c>
    </x:row>
    <x:row r="8">
      <x:c r="A8" t="str">
        <x:v>FooterController</x:v>
      </x:c>
      <x:c r="B8" t="n">
        <x:v>1</x:v>
      </x:c>
      <x:c r="C8" t="n">
        <x:v>0</x:v>
      </x:c>
    </x:row>
    <x:row r="9">
      <x:c r="A9" t="str">
        <x:v>HeadController</x:v>
      </x:c>
      <x:c r="B9" t="n">
        <x:v>0</x:v>
      </x:c>
      <x:c r="C9" t="n">
        <x:v>5</x:v>
      </x:c>
    </x:row>
    <x:row r="10">
      <x:c r="A10" t="str">
        <x:v>HeaderController</x:v>
      </x:c>
      <x:c r="B10" t="n">
        <x:v>1</x:v>
      </x:c>
      <x:c r="C10" t="n">
        <x:v>0</x:v>
      </x:c>
    </x:row>
    <x:row r="11">
      <x:c r="A11" t="str">
        <x:v>MdpOublieController</x:v>
      </x:c>
      <x:c r="B11" t="n">
        <x:v>3</x:v>
      </x:c>
      <x:c r="C11" t="n">
        <x:v>2</x:v>
      </x:c>
    </x:row>
    <x:row r="12">
      <x:c r="A12" t="str">
        <x:v>MdpRenitController</x:v>
      </x:c>
      <x:c r="B12" t="n">
        <x:v>3</x:v>
      </x:c>
      <x:c r="C12" t="n">
        <x:v>2</x:v>
      </x:c>
    </x:row>
    <x:row r="13">
      <x:c r="A13" t="str">
        <x:v>PlanDuSiteController</x:v>
      </x:c>
      <x:c r="B13" t="n">
        <x:v>2</x:v>
      </x:c>
      <x:c r="C13" t="n">
        <x:v>1</x:v>
      </x:c>
    </x:row>
    <x:row r="14">
      <x:c r="A14" t="str">
        <x:v>QuoteModel</x:v>
      </x:c>
      <x:c r="B14" t="n">
        <x:v>0</x:v>
      </x:c>
      <x:c r="C14" t="n">
        <x:v>0</x:v>
      </x:c>
    </x:row>
    <x:row r="15">
      <x:c r="A15" t="str">
        <x:v>SInscrireController</x:v>
      </x:c>
      <x:c r="B15" t="n">
        <x:v>2</x:v>
      </x:c>
      <x:c r="C15" t="n">
        <x:v>2</x:v>
      </x:c>
    </x:row>
    <x:row r="16">
      <x:c r="A16" t="str">
        <x:v>SeConnecterController</x:v>
      </x:c>
      <x:c r="B16" t="n">
        <x:v>2</x:v>
      </x:c>
      <x:c r="C16" t="n">
        <x:v>4</x:v>
      </x:c>
    </x:row>
    <x:row r="17">
      <x:c r="A17" t="str">
        <x:v>SeDeconnecterController</x:v>
      </x:c>
      <x:c r="B17" t="n">
        <x:v>2</x:v>
      </x:c>
      <x:c r="C17" t="n">
        <x:v>1</x:v>
      </x:c>
    </x:row>
    <x:row r="18">
      <x:c r="A18" t="str">
        <x:v>SongModel</x:v>
      </x:c>
      <x:c r="B18" t="n">
        <x:v>0</x:v>
      </x:c>
      <x:c r="C18" t="n">
        <x:v>0</x:v>
      </x:c>
    </x:row>
    <x:row r="19">
      <x:c r="A19" t="str">
        <x:v>ToggleButtonController</x:v>
      </x:c>
      <x:c r="B19" t="n">
        <x:v>0</x:v>
      </x:c>
      <x:c r="C19" t="n">
        <x:v>1</x:v>
      </x:c>
    </x:row>
    <x:row r="20">
      <x:c r="A20" t="str">
        <x:v>UserModels</x:v>
      </x:c>
      <x:c r="B20" t="n">
        <x:v>0</x:v>
      </x:c>
      <x:c r="C20" t="n">
        <x:v>0</x:v>
      </x:c>
    </x:row>
  </x:sheetData>
  <x:pageMargins left="0.7" right="0.7" top="0.75" bottom="0.75" header="0.3" footer="0.3"/>
</x:worksheet>
</file>